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ent Plan" sheetId="1" state="visible" r:id="rId3"/>
    <sheet name="Funnel Summary" sheetId="2" state="visible" r:id="rId4"/>
    <sheet name="Audience &amp; Pain Points" sheetId="3" state="visible" r:id="rId5"/>
  </sheets>
  <definedNames>
    <definedName function="false" hidden="true" localSheetId="0" name="_xlnm._FilterDatabase" vbProcedure="false">'Content Plan'!$A$5:$P$15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<sst xmlns="http://schemas.openxmlformats.org/spreadsheetml/2006/main" count="193" uniqueCount="142">
  <si>
    <t xml:space="preserve">BrewNest Coffee - One-Month Blog Content Plan (November 2026)</t>
  </si>
  <si>
    <t xml:space="preserve">Business: A (fictional) direct-to-consumer specialty coffee brand based in Hyderabad that sells freshly roasted Indian single-origin beans, South Indian filter-coffee blends, brewing gear and a monthly subscription online.</t>
  </si>
  <si>
    <t xml:space="preserve">Prepared by: Reddi Malli Nandini  |  Tools: Google Sheets, Google Keyword Planner, Google Trends</t>
  </si>
  <si>
    <t xml:space="preserve">#</t>
  </si>
  <si>
    <t xml:space="preserve">Week</t>
  </si>
  <si>
    <t xml:space="preserve">Publish Date</t>
  </si>
  <si>
    <t xml:space="preserve">Funnel Stage</t>
  </si>
  <si>
    <t xml:space="preserve">Audience Pain Point</t>
  </si>
  <si>
    <t xml:space="preserve">Target Keyword</t>
  </si>
  <si>
    <t xml:space="preserve">Secondary Keywords</t>
  </si>
  <si>
    <t xml:space="preserve">Search Intent</t>
  </si>
  <si>
    <t xml:space="preserve">Avg. Monthly Searches (Keyword Planner range)</t>
  </si>
  <si>
    <t xml:space="preserve">Google Trends Note</t>
  </si>
  <si>
    <t xml:space="preserve">Suggested Title</t>
  </si>
  <si>
    <t xml:space="preserve">Content Objective</t>
  </si>
  <si>
    <t xml:space="preserve">Format</t>
  </si>
  <si>
    <t xml:space="preserve">Primary CTA</t>
  </si>
  <si>
    <t xml:space="preserve">Target Word Count</t>
  </si>
  <si>
    <t xml:space="preserve">Status</t>
  </si>
  <si>
    <t xml:space="preserve">Mon 02 Nov 2026</t>
  </si>
  <si>
    <t xml:space="preserve">Awareness</t>
  </si>
  <si>
    <t xml:space="preserve">Home coffee tastes bitter or flat</t>
  </si>
  <si>
    <t xml:space="preserve">how to make filter coffee at home</t>
  </si>
  <si>
    <t xml:space="preserve">south indian filter coffee recipe; filter coffee ratio; filter coffee decoction</t>
  </si>
  <si>
    <t xml:space="preserve">Informational</t>
  </si>
  <si>
    <t xml:space="preserve">10K-100K</t>
  </si>
  <si>
    <t xml:space="preserve">Steady year-round, small peaks in winter</t>
  </si>
  <si>
    <t xml:space="preserve">How to Make South Indian Filter Coffee at Home (Perfect Decoction Every Time)</t>
  </si>
  <si>
    <t xml:space="preserve">Rank for a high-volume recipe query and introduce BrewNest's filter-coffee blend as the ingredient that makes it work.</t>
  </si>
  <si>
    <t xml:space="preserve">Step-by-step guide + photos</t>
  </si>
  <si>
    <t xml:space="preserve">Shop the Filter Coffee Blend</t>
  </si>
  <si>
    <t xml:space="preserve">Planned</t>
  </si>
  <si>
    <t xml:space="preserve">Thu 05 Nov 2026</t>
  </si>
  <si>
    <t xml:space="preserve">why is my coffee bitter</t>
  </si>
  <si>
    <t xml:space="preserve">coffee too bitter; how to make coffee less bitter; sour coffee fix</t>
  </si>
  <si>
    <t xml:space="preserve">1K-10K</t>
  </si>
  <si>
    <t xml:space="preserve">Stable</t>
  </si>
  <si>
    <t xml:space="preserve">Why Is My Coffee Bitter? 7 Common Mistakes and How to Fix Them</t>
  </si>
  <si>
    <t xml:space="preserve">Solve the #1 home-brewing frustration, build trust, and position fresh beans + correct grind as the fix.</t>
  </si>
  <si>
    <t xml:space="preserve">Listicle / troubleshooting guide</t>
  </si>
  <si>
    <t xml:space="preserve">Download free brew-ratio cheat sheet (email capture)</t>
  </si>
  <si>
    <t xml:space="preserve">Sat 07 Nov 2026</t>
  </si>
  <si>
    <t xml:space="preserve">Confused by bean types and roasts</t>
  </si>
  <si>
    <t xml:space="preserve">arabica vs robusta</t>
  </si>
  <si>
    <t xml:space="preserve">difference between arabica and robusta; arabica coffee benefits; robusta coffee taste</t>
  </si>
  <si>
    <t xml:space="preserve">Arabica vs Robusta: What's the Difference and Which Should You Drink?</t>
  </si>
  <si>
    <t xml:space="preserve">Educate beginners on bean types and lead them to BrewNest's labelled single-origin range.</t>
  </si>
  <si>
    <t xml:space="preserve">Comparison article + table</t>
  </si>
  <si>
    <t xml:space="preserve">Explore Single-Origin Beans</t>
  </si>
  <si>
    <t xml:space="preserve">Tue 10 Nov 2026</t>
  </si>
  <si>
    <t xml:space="preserve">Cafe coffee is expensive daily</t>
  </si>
  <si>
    <t xml:space="preserve">black coffee benefits</t>
  </si>
  <si>
    <t xml:space="preserve">black coffee for weight loss; is black coffee good for health; black coffee side effects</t>
  </si>
  <si>
    <t xml:space="preserve">Rising (health/fitness interest)</t>
  </si>
  <si>
    <t xml:space="preserve">Black Coffee Benefits: What Science Actually Says (and How Much Is Too Much)</t>
  </si>
  <si>
    <t xml:space="preserve">Capture health-curious searchers, grow top-of-funnel traffic and newsletter sign-ups.</t>
  </si>
  <si>
    <t xml:space="preserve">Evidence-based explainer</t>
  </si>
  <si>
    <t xml:space="preserve">Join the BrewNest newsletter</t>
  </si>
  <si>
    <t xml:space="preserve">Fri 13 Nov 2026</t>
  </si>
  <si>
    <t xml:space="preserve">Consideration</t>
  </si>
  <si>
    <t xml:space="preserve">best coffee beans in india</t>
  </si>
  <si>
    <t xml:space="preserve">best coffee brands in india; indian coffee beans online; best arabica beans india</t>
  </si>
  <si>
    <t xml:space="preserve">Commercial investigation</t>
  </si>
  <si>
    <t xml:space="preserve">Peaks Oct-Jan (gifting season)</t>
  </si>
  <si>
    <t xml:space="preserve">Best Coffee Beans in India (2026): An Honest Roaster's Buying Guide</t>
  </si>
  <si>
    <t xml:space="preserve">Win comparison-stage searchers by explaining what to look for (roast date, origin, roast level) and featuring BrewNest fairly.</t>
  </si>
  <si>
    <t xml:space="preserve">Buying guide</t>
  </si>
  <si>
    <t xml:space="preserve">Compare BrewNest roasts</t>
  </si>
  <si>
    <t xml:space="preserve">Tue 17 Nov 2026</t>
  </si>
  <si>
    <t xml:space="preserve">Don't know which equipment to buy</t>
  </si>
  <si>
    <t xml:space="preserve">french press vs pour over</t>
  </si>
  <si>
    <t xml:space="preserve">french press vs filter coffee; best coffee maker for home india; pour over coffee guide</t>
  </si>
  <si>
    <t xml:space="preserve">French Press vs Pour-Over vs Moka Pot: Which Coffee Maker Is Right for You?</t>
  </si>
  <si>
    <t xml:space="preserve">Help readers pick a brewer and recommend the matching grind size from BrewNest.</t>
  </si>
  <si>
    <t xml:space="preserve">Comparison + quiz-style decision chart</t>
  </si>
  <si>
    <t xml:space="preserve">Take the 30-second brewer quiz</t>
  </si>
  <si>
    <t xml:space="preserve">Fri 20 Nov 2026</t>
  </si>
  <si>
    <t xml:space="preserve">instant coffee vs ground coffee</t>
  </si>
  <si>
    <t xml:space="preserve">is ground coffee better than instant; filter coffee vs instant coffee; switch from instant coffee</t>
  </si>
  <si>
    <t xml:space="preserve">Instant vs Ground Coffee: Taste, Cost per Cup and Health Compared</t>
  </si>
  <si>
    <t xml:space="preserve">Show the real cost-per-cup and taste gap, nudging instant-coffee drinkers to try ground coffee.</t>
  </si>
  <si>
    <t xml:space="preserve">Data-led comparison</t>
  </si>
  <si>
    <t xml:space="preserve">Try the Starter Sampler Pack</t>
  </si>
  <si>
    <t xml:space="preserve">Tue 24 Nov 2026</t>
  </si>
  <si>
    <t xml:space="preserve">Decision</t>
  </si>
  <si>
    <t xml:space="preserve">Unsure if buying beans online is worth it</t>
  </si>
  <si>
    <t xml:space="preserve">buy coffee beans online india</t>
  </si>
  <si>
    <t xml:space="preserve">fresh roasted coffee beans online; coffee beans delivery hyderabad; whole bean coffee online</t>
  </si>
  <si>
    <t xml:space="preserve">Transactional</t>
  </si>
  <si>
    <t xml:space="preserve">Peaks Oct-Jan</t>
  </si>
  <si>
    <t xml:space="preserve">Buying Coffee Beans Online in India? 6 Things to Check Before You Order</t>
  </si>
  <si>
    <t xml:space="preserve">Remove purchase objections (freshness, roast date, delivery, returns) and drive first orders.</t>
  </si>
  <si>
    <t xml:space="preserve">Checklist + trust signals (reviews, roast-date policy)</t>
  </si>
  <si>
    <t xml:space="preserve">Order now - roasted within 48 hours</t>
  </si>
  <si>
    <t xml:space="preserve">Fri 27 Nov 2026</t>
  </si>
  <si>
    <t xml:space="preserve">coffee subscription india</t>
  </si>
  <si>
    <t xml:space="preserve">monthly coffee subscription; coffee subscription box; coffee gift subscription</t>
  </si>
  <si>
    <t xml:space="preserve">100-1K</t>
  </si>
  <si>
    <t xml:space="preserve">Peaks around Diwali and December</t>
  </si>
  <si>
    <t xml:space="preserve">Is a Coffee Subscription Worth It? How BrewNest's Monthly Plan Works</t>
  </si>
  <si>
    <t xml:space="preserve">Convert repeat buyers into subscribers by explaining savings, flexibility and freshness.</t>
  </si>
  <si>
    <t xml:space="preserve">Product-led landing article + FAQ</t>
  </si>
  <si>
    <t xml:space="preserve">Start your subscription (first bag 20% off)</t>
  </si>
  <si>
    <t xml:space="preserve">Mon 30 Nov 2026</t>
  </si>
  <si>
    <t xml:space="preserve">Retention</t>
  </si>
  <si>
    <t xml:space="preserve">Beans go stale quickly</t>
  </si>
  <si>
    <t xml:space="preserve">how to store coffee beans</t>
  </si>
  <si>
    <t xml:space="preserve">do coffee beans expire; how long do coffee beans last; store ground coffee</t>
  </si>
  <si>
    <t xml:space="preserve">How to Store Coffee Beans So They Stay Fresh (Freezer Myth Busted)</t>
  </si>
  <si>
    <t xml:space="preserve">Help existing customers get more from each bag, reduce complaints and encourage re-orders.</t>
  </si>
  <si>
    <t xml:space="preserve">How-to guide (sent in post-purchase email)</t>
  </si>
  <si>
    <t xml:space="preserve">Reorder reminder / refer a friend</t>
  </si>
  <si>
    <t xml:space="preserve">Note: Search-volume figures are the range buckets Google Keyword Planner shows for India (location: India, language: English). Re-check them in your own Planner account and update column I if your numbers differ.</t>
  </si>
  <si>
    <t xml:space="preserve">Total planned words:</t>
  </si>
  <si>
    <t xml:space="preserve">Customer Journey Coverage</t>
  </si>
  <si>
    <t xml:space="preserve">Goal of the Stage</t>
  </si>
  <si>
    <t xml:space="preserve"># Posts</t>
  </si>
  <si>
    <t xml:space="preserve">Share of Plan</t>
  </si>
  <si>
    <t xml:space="preserve">Words Planned</t>
  </si>
  <si>
    <t xml:space="preserve">Attract new readers with problem/education content</t>
  </si>
  <si>
    <t xml:space="preserve">Help readers compare options and choose</t>
  </si>
  <si>
    <t xml:space="preserve">Remove objections and drive the first purchase</t>
  </si>
  <si>
    <t xml:space="preserve">Keep customers happy and buying again</t>
  </si>
  <si>
    <t xml:space="preserve">Total</t>
  </si>
  <si>
    <t xml:space="preserve">Search intent mix</t>
  </si>
  <si>
    <t xml:space="preserve">Target Audience</t>
  </si>
  <si>
    <t xml:space="preserve">Urban Indians aged 22-40 (students, young professionals, work-from-home folks) who drink instant coffee or cafe coffee and want to make better coffee at home without spending a lot.</t>
  </si>
  <si>
    <t xml:space="preserve">Pain Point</t>
  </si>
  <si>
    <t xml:space="preserve">Detail</t>
  </si>
  <si>
    <t xml:space="preserve">Posts Addressing It</t>
  </si>
  <si>
    <t xml:space="preserve">Bitterness/sourness from wrong grind, water temperature or stale beans</t>
  </si>
  <si>
    <t xml:space="preserve">#1, #2</t>
  </si>
  <si>
    <t xml:space="preserve">Arabica vs Robusta, light vs dark roast, chicory or no chicory</t>
  </si>
  <si>
    <t xml:space="preserve">#3, #5</t>
  </si>
  <si>
    <t xml:space="preserve">French press, pour-over, moka pot or South Indian filter - which one suits them</t>
  </si>
  <si>
    <t xml:space="preserve">#6</t>
  </si>
  <si>
    <t xml:space="preserve">Rs 250+ per cup adds up; want cafe quality at home</t>
  </si>
  <si>
    <t xml:space="preserve">#4, #7, #9</t>
  </si>
  <si>
    <t xml:space="preserve">Freshness, roast date, delivery time, trust in new brands</t>
  </si>
  <si>
    <t xml:space="preserve">#8</t>
  </si>
  <si>
    <t xml:space="preserve">Don't know how to store coffee or how long it lasts</t>
  </si>
  <si>
    <t xml:space="preserve">#10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</si>
</sst>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A5C"/>
      <name val="Arial"/>
      <family val="0"/>
      <charset val="1"/>
    </font>
    <font>
      <i val="true"/>
      <sz val="10"/>
      <name val="Arial"/>
      <family val="0"/>
      <charset val="1"/>
    </font>
    <font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4"/>
      <color rgb="FF1F2A5C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2"/>
      <color rgb="FF1F2A5C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2A5C"/>
        <bgColor rgb="FF333333"/>
      </patternFill>
    </fill>
    <fill>
      <patternFill patternType="solid">
        <fgColor rgb="FFE3F2FD"/>
        <bgColor rgb="FFE8F5E9"/>
      </patternFill>
    </fill>
    <fill>
      <patternFill patternType="solid">
        <fgColor rgb="FFFFF3E0"/>
        <bgColor rgb="FFE8F5E9"/>
      </patternFill>
    </fill>
    <fill>
      <patternFill patternType="solid">
        <fgColor rgb="FFE8F5E9"/>
        <bgColor rgb="FFE3F2FD"/>
      </patternFill>
    </fill>
    <fill>
      <patternFill patternType="solid">
        <fgColor rgb="FFF3E5F5"/>
        <bgColor rgb="FFE3F2FD"/>
      </patternFill>
    </fill>
    <fill>
      <patternFill patternType="solid">
        <fgColor rgb="FFE8710A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3E6"/>
      </left>
      <right style="thin">
        <color rgb="FFC9D3E6"/>
      </right>
      <top style="thin">
        <color rgb="FFC9D3E6"/>
      </top>
      <bottom style="thin">
        <color rgb="FFC9D3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2A5C"/>
          <bgColor rgb="FF000000"/>
        </patternFill>
      </fill>
    </dxf>
    <dxf>
      <fill>
        <patternFill patternType="solid">
          <fgColor rgb="FFE3F2FD"/>
          <bgColor rgb="FF000000"/>
        </patternFill>
      </fill>
    </dxf>
    <dxf>
      <fill>
        <patternFill patternType="solid">
          <fgColor rgb="FFE8F5E9"/>
          <bgColor rgb="FF000000"/>
        </patternFill>
      </fill>
    </dxf>
    <dxf>
      <fill>
        <patternFill patternType="solid">
          <fgColor rgb="FFF3E5F5"/>
          <bgColor rgb="FF000000"/>
        </patternFill>
      </fill>
    </dxf>
    <dxf>
      <fill>
        <patternFill patternType="solid">
          <fgColor rgb="FFFFF3E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E0"/>
      <rgbColor rgb="FFE3F2FD"/>
      <rgbColor rgb="FF660066"/>
      <rgbColor rgb="FFFF8080"/>
      <rgbColor rgb="FF0066CC"/>
      <rgbColor rgb="FFC9D3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F3E5F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8710A"/>
      <rgbColor rgb="FF555555"/>
      <rgbColor rgb="FF969696"/>
      <rgbColor rgb="FF1F2A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5" ySplit="5" topLeftCell="F6" activePane="bottomRight" state="frozen"/>
      <selection pane="topLeft" activeCell="A1" activeCellId="0" sqref="A1"/>
      <selection pane="topRight" activeCell="F1" activeCellId="0" sqref="F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6"/>
    <col collapsed="false" customWidth="true" hidden="false" outlineLevel="0" max="3" min="3" style="0" width="15"/>
    <col collapsed="false" customWidth="true" hidden="false" outlineLevel="0" max="4" min="4" style="0" width="13"/>
    <col collapsed="false" customWidth="true" hidden="false" outlineLevel="0" max="5" min="5" style="0" width="22"/>
    <col collapsed="false" customWidth="true" hidden="false" outlineLevel="0" max="6" min="6" style="0" width="26"/>
    <col collapsed="false" customWidth="true" hidden="false" outlineLevel="0" max="7" min="7" style="0" width="34"/>
    <col collapsed="false" customWidth="true" hidden="false" outlineLevel="0" max="8" min="8" style="0" width="15"/>
    <col collapsed="false" customWidth="true" hidden="false" outlineLevel="0" max="9" min="9" style="0" width="16"/>
    <col collapsed="false" customWidth="true" hidden="false" outlineLevel="0" max="10" min="10" style="0" width="20"/>
    <col collapsed="false" customWidth="true" hidden="false" outlineLevel="0" max="11" min="11" style="0" width="40"/>
    <col collapsed="false" customWidth="true" hidden="false" outlineLevel="0" max="12" min="12" style="0" width="46"/>
    <col collapsed="false" customWidth="true" hidden="false" outlineLevel="0" max="13" min="13" style="0" width="22"/>
    <col collapsed="false" customWidth="true" hidden="false" outlineLevel="0" max="14" min="14" style="0" width="26"/>
    <col collapsed="false" customWidth="true" hidden="false" outlineLevel="0" max="15" min="15" style="0" width="10"/>
    <col collapsed="false" customWidth="true" hidden="false" outlineLevel="0" max="16" min="16" style="0" width="11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4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</row>
    <row r="6" customFormat="false" ht="78" hidden="false" customHeight="true" outlineLevel="0" collapsed="false">
      <c r="A6" s="5" t="n">
        <v>1</v>
      </c>
      <c r="B6" s="5" t="n">
        <v>1</v>
      </c>
      <c r="C6" s="5" t="s">
        <v>19</v>
      </c>
      <c r="D6" s="5" t="s">
        <v>20</v>
      </c>
      <c r="E6" s="5" t="s">
        <v>21</v>
      </c>
      <c r="F6" s="6" t="s">
        <v>22</v>
      </c>
      <c r="G6" s="5" t="s">
        <v>23</v>
      </c>
      <c r="H6" s="5" t="s">
        <v>24</v>
      </c>
      <c r="I6" s="5" t="s">
        <v>25</v>
      </c>
      <c r="J6" s="5" t="s">
        <v>26</v>
      </c>
      <c r="K6" s="6" t="s">
        <v>27</v>
      </c>
      <c r="L6" s="5" t="s">
        <v>28</v>
      </c>
      <c r="M6" s="5" t="s">
        <v>29</v>
      </c>
      <c r="N6" s="5" t="s">
        <v>30</v>
      </c>
      <c r="O6" s="5" t="n">
        <v>1500</v>
      </c>
      <c r="P6" s="5" t="s">
        <v>31</v>
      </c>
    </row>
    <row r="7" customFormat="false" ht="78" hidden="false" customHeight="true" outlineLevel="0" collapsed="false">
      <c r="A7" s="5" t="n">
        <v>2</v>
      </c>
      <c r="B7" s="5" t="n">
        <v>1</v>
      </c>
      <c r="C7" s="5" t="s">
        <v>32</v>
      </c>
      <c r="D7" s="5" t="s">
        <v>20</v>
      </c>
      <c r="E7" s="5" t="s">
        <v>21</v>
      </c>
      <c r="F7" s="6" t="s">
        <v>33</v>
      </c>
      <c r="G7" s="5" t="s">
        <v>34</v>
      </c>
      <c r="H7" s="5" t="s">
        <v>24</v>
      </c>
      <c r="I7" s="5" t="s">
        <v>35</v>
      </c>
      <c r="J7" s="5" t="s">
        <v>36</v>
      </c>
      <c r="K7" s="6" t="s">
        <v>37</v>
      </c>
      <c r="L7" s="5" t="s">
        <v>38</v>
      </c>
      <c r="M7" s="5" t="s">
        <v>39</v>
      </c>
      <c r="N7" s="5" t="s">
        <v>40</v>
      </c>
      <c r="O7" s="5" t="n">
        <v>1200</v>
      </c>
      <c r="P7" s="5" t="s">
        <v>31</v>
      </c>
    </row>
    <row r="8" customFormat="false" ht="78" hidden="false" customHeight="true" outlineLevel="0" collapsed="false">
      <c r="A8" s="5" t="n">
        <v>3</v>
      </c>
      <c r="B8" s="5" t="n">
        <v>1</v>
      </c>
      <c r="C8" s="5" t="s">
        <v>41</v>
      </c>
      <c r="D8" s="5" t="s">
        <v>20</v>
      </c>
      <c r="E8" s="5" t="s">
        <v>42</v>
      </c>
      <c r="F8" s="6" t="s">
        <v>43</v>
      </c>
      <c r="G8" s="5" t="s">
        <v>44</v>
      </c>
      <c r="H8" s="5" t="s">
        <v>24</v>
      </c>
      <c r="I8" s="5" t="s">
        <v>25</v>
      </c>
      <c r="J8" s="5" t="s">
        <v>36</v>
      </c>
      <c r="K8" s="6" t="s">
        <v>45</v>
      </c>
      <c r="L8" s="5" t="s">
        <v>46</v>
      </c>
      <c r="M8" s="5" t="s">
        <v>47</v>
      </c>
      <c r="N8" s="5" t="s">
        <v>48</v>
      </c>
      <c r="O8" s="5" t="n">
        <v>1300</v>
      </c>
      <c r="P8" s="5" t="s">
        <v>31</v>
      </c>
    </row>
    <row r="9" customFormat="false" ht="78" hidden="false" customHeight="true" outlineLevel="0" collapsed="false">
      <c r="A9" s="5" t="n">
        <v>4</v>
      </c>
      <c r="B9" s="5" t="n">
        <v>2</v>
      </c>
      <c r="C9" s="5" t="s">
        <v>49</v>
      </c>
      <c r="D9" s="5" t="s">
        <v>20</v>
      </c>
      <c r="E9" s="5" t="s">
        <v>50</v>
      </c>
      <c r="F9" s="6" t="s">
        <v>51</v>
      </c>
      <c r="G9" s="5" t="s">
        <v>52</v>
      </c>
      <c r="H9" s="5" t="s">
        <v>24</v>
      </c>
      <c r="I9" s="5" t="s">
        <v>25</v>
      </c>
      <c r="J9" s="5" t="s">
        <v>53</v>
      </c>
      <c r="K9" s="6" t="s">
        <v>54</v>
      </c>
      <c r="L9" s="5" t="s">
        <v>55</v>
      </c>
      <c r="M9" s="5" t="s">
        <v>56</v>
      </c>
      <c r="N9" s="5" t="s">
        <v>57</v>
      </c>
      <c r="O9" s="5" t="n">
        <v>1400</v>
      </c>
      <c r="P9" s="5" t="s">
        <v>31</v>
      </c>
    </row>
    <row r="10" customFormat="false" ht="78" hidden="false" customHeight="true" outlineLevel="0" collapsed="false">
      <c r="A10" s="7" t="n">
        <v>5</v>
      </c>
      <c r="B10" s="7" t="n">
        <v>2</v>
      </c>
      <c r="C10" s="7" t="s">
        <v>58</v>
      </c>
      <c r="D10" s="7" t="s">
        <v>59</v>
      </c>
      <c r="E10" s="7" t="s">
        <v>42</v>
      </c>
      <c r="F10" s="8" t="s">
        <v>60</v>
      </c>
      <c r="G10" s="7" t="s">
        <v>61</v>
      </c>
      <c r="H10" s="7" t="s">
        <v>62</v>
      </c>
      <c r="I10" s="7" t="s">
        <v>35</v>
      </c>
      <c r="J10" s="7" t="s">
        <v>63</v>
      </c>
      <c r="K10" s="8" t="s">
        <v>64</v>
      </c>
      <c r="L10" s="7" t="s">
        <v>65</v>
      </c>
      <c r="M10" s="7" t="s">
        <v>66</v>
      </c>
      <c r="N10" s="7" t="s">
        <v>67</v>
      </c>
      <c r="O10" s="7" t="n">
        <v>2000</v>
      </c>
      <c r="P10" s="7" t="s">
        <v>31</v>
      </c>
    </row>
    <row r="11" customFormat="false" ht="78" hidden="false" customHeight="true" outlineLevel="0" collapsed="false">
      <c r="A11" s="7" t="n">
        <v>6</v>
      </c>
      <c r="B11" s="7" t="n">
        <v>3</v>
      </c>
      <c r="C11" s="7" t="s">
        <v>68</v>
      </c>
      <c r="D11" s="7" t="s">
        <v>59</v>
      </c>
      <c r="E11" s="7" t="s">
        <v>69</v>
      </c>
      <c r="F11" s="8" t="s">
        <v>70</v>
      </c>
      <c r="G11" s="7" t="s">
        <v>71</v>
      </c>
      <c r="H11" s="7" t="s">
        <v>62</v>
      </c>
      <c r="I11" s="7" t="s">
        <v>35</v>
      </c>
      <c r="J11" s="7" t="s">
        <v>36</v>
      </c>
      <c r="K11" s="8" t="s">
        <v>72</v>
      </c>
      <c r="L11" s="7" t="s">
        <v>73</v>
      </c>
      <c r="M11" s="7" t="s">
        <v>74</v>
      </c>
      <c r="N11" s="7" t="s">
        <v>75</v>
      </c>
      <c r="O11" s="7" t="n">
        <v>1600</v>
      </c>
      <c r="P11" s="7" t="s">
        <v>31</v>
      </c>
    </row>
    <row r="12" customFormat="false" ht="78" hidden="false" customHeight="true" outlineLevel="0" collapsed="false">
      <c r="A12" s="7" t="n">
        <v>7</v>
      </c>
      <c r="B12" s="7" t="n">
        <v>3</v>
      </c>
      <c r="C12" s="7" t="s">
        <v>76</v>
      </c>
      <c r="D12" s="7" t="s">
        <v>59</v>
      </c>
      <c r="E12" s="7" t="s">
        <v>50</v>
      </c>
      <c r="F12" s="8" t="s">
        <v>77</v>
      </c>
      <c r="G12" s="7" t="s">
        <v>78</v>
      </c>
      <c r="H12" s="7" t="s">
        <v>62</v>
      </c>
      <c r="I12" s="7" t="s">
        <v>35</v>
      </c>
      <c r="J12" s="7" t="s">
        <v>36</v>
      </c>
      <c r="K12" s="8" t="s">
        <v>79</v>
      </c>
      <c r="L12" s="7" t="s">
        <v>80</v>
      </c>
      <c r="M12" s="7" t="s">
        <v>81</v>
      </c>
      <c r="N12" s="7" t="s">
        <v>82</v>
      </c>
      <c r="O12" s="7" t="n">
        <v>1300</v>
      </c>
      <c r="P12" s="7" t="s">
        <v>31</v>
      </c>
    </row>
    <row r="13" customFormat="false" ht="78" hidden="false" customHeight="true" outlineLevel="0" collapsed="false">
      <c r="A13" s="9" t="n">
        <v>8</v>
      </c>
      <c r="B13" s="9" t="n">
        <v>4</v>
      </c>
      <c r="C13" s="9" t="s">
        <v>83</v>
      </c>
      <c r="D13" s="9" t="s">
        <v>84</v>
      </c>
      <c r="E13" s="9" t="s">
        <v>85</v>
      </c>
      <c r="F13" s="10" t="s">
        <v>86</v>
      </c>
      <c r="G13" s="9" t="s">
        <v>87</v>
      </c>
      <c r="H13" s="9" t="s">
        <v>88</v>
      </c>
      <c r="I13" s="9" t="s">
        <v>35</v>
      </c>
      <c r="J13" s="9" t="s">
        <v>89</v>
      </c>
      <c r="K13" s="10" t="s">
        <v>90</v>
      </c>
      <c r="L13" s="9" t="s">
        <v>91</v>
      </c>
      <c r="M13" s="9" t="s">
        <v>92</v>
      </c>
      <c r="N13" s="9" t="s">
        <v>93</v>
      </c>
      <c r="O13" s="9" t="n">
        <v>1100</v>
      </c>
      <c r="P13" s="9" t="s">
        <v>31</v>
      </c>
    </row>
    <row r="14" customFormat="false" ht="78" hidden="false" customHeight="true" outlineLevel="0" collapsed="false">
      <c r="A14" s="9" t="n">
        <v>9</v>
      </c>
      <c r="B14" s="9" t="n">
        <v>4</v>
      </c>
      <c r="C14" s="9" t="s">
        <v>94</v>
      </c>
      <c r="D14" s="9" t="s">
        <v>84</v>
      </c>
      <c r="E14" s="9" t="s">
        <v>50</v>
      </c>
      <c r="F14" s="10" t="s">
        <v>95</v>
      </c>
      <c r="G14" s="9" t="s">
        <v>96</v>
      </c>
      <c r="H14" s="9" t="s">
        <v>88</v>
      </c>
      <c r="I14" s="9" t="s">
        <v>97</v>
      </c>
      <c r="J14" s="9" t="s">
        <v>98</v>
      </c>
      <c r="K14" s="10" t="s">
        <v>99</v>
      </c>
      <c r="L14" s="9" t="s">
        <v>100</v>
      </c>
      <c r="M14" s="9" t="s">
        <v>101</v>
      </c>
      <c r="N14" s="9" t="s">
        <v>102</v>
      </c>
      <c r="O14" s="9" t="n">
        <v>1000</v>
      </c>
      <c r="P14" s="9" t="s">
        <v>31</v>
      </c>
    </row>
    <row r="15" customFormat="false" ht="78" hidden="false" customHeight="true" outlineLevel="0" collapsed="false">
      <c r="A15" s="11" t="n">
        <v>10</v>
      </c>
      <c r="B15" s="11" t="n">
        <v>4</v>
      </c>
      <c r="C15" s="11" t="s">
        <v>103</v>
      </c>
      <c r="D15" s="11" t="s">
        <v>104</v>
      </c>
      <c r="E15" s="11" t="s">
        <v>105</v>
      </c>
      <c r="F15" s="12" t="s">
        <v>106</v>
      </c>
      <c r="G15" s="11" t="s">
        <v>107</v>
      </c>
      <c r="H15" s="11" t="s">
        <v>24</v>
      </c>
      <c r="I15" s="11" t="s">
        <v>35</v>
      </c>
      <c r="J15" s="11" t="s">
        <v>36</v>
      </c>
      <c r="K15" s="12" t="s">
        <v>108</v>
      </c>
      <c r="L15" s="11" t="s">
        <v>109</v>
      </c>
      <c r="M15" s="11" t="s">
        <v>110</v>
      </c>
      <c r="N15" s="11" t="s">
        <v>111</v>
      </c>
      <c r="O15" s="11" t="n">
        <v>900</v>
      </c>
      <c r="P15" s="11" t="s">
        <v>31</v>
      </c>
    </row>
    <row r="17" customFormat="false" ht="15" hidden="false" customHeight="false" outlineLevel="0" collapsed="false">
      <c r="A17" s="13" t="s">
        <v>112</v>
      </c>
    </row>
    <row r="18" customFormat="false" ht="15" hidden="false" customHeight="false" outlineLevel="0" collapsed="false">
      <c r="A18" s="14" t="s">
        <v>113</v>
      </c>
      <c r="O18" s="14" t="n">
        <f aca="false">SUM(O6:O15)</f>
        <v>13300</v>
      </c>
    </row>
  </sheetData>
  <autoFilter ref="A5:P15"/>
  <dataValidations count="1">
    <dataValidation allowBlank="true" errorStyle="stop" operator="between" showDropDown="false" showErrorMessage="false" showInputMessage="false" sqref="P6:P15" type="list">
      <formula1>"Planned,Writing,In Review,Published"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2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15"/>
  </cols>
  <sheetData>
    <row r="1" customFormat="false" ht="17.35" hidden="false" customHeight="false" outlineLevel="0" collapsed="false">
      <c r="A1" s="15" t="s">
        <v>114</v>
      </c>
    </row>
    <row r="3" customFormat="false" ht="15" hidden="false" customHeight="false" outlineLevel="0" collapsed="false">
      <c r="A3" s="16" t="s">
        <v>6</v>
      </c>
      <c r="B3" s="16" t="s">
        <v>115</v>
      </c>
      <c r="C3" s="16" t="s">
        <v>116</v>
      </c>
      <c r="D3" s="16" t="s">
        <v>117</v>
      </c>
      <c r="E3" s="16" t="s">
        <v>118</v>
      </c>
    </row>
    <row r="4" customFormat="false" ht="15" hidden="false" customHeight="false" outlineLevel="0" collapsed="false">
      <c r="A4" s="17" t="s">
        <v>20</v>
      </c>
      <c r="B4" s="17" t="s">
        <v>119</v>
      </c>
      <c r="C4" s="17" t="n">
        <f aca="false">COUNTIF('Content Plan'!$D$6:$D$15,A4)</f>
        <v>4</v>
      </c>
      <c r="D4" s="18" t="n">
        <f aca="false">IF($C$8=0,0,C4/$C$8)</f>
        <v>0.4</v>
      </c>
      <c r="E4" s="17" t="n">
        <f aca="false">SUMIF('Content Plan'!$D$6:$D$15,A4,'Content Plan'!$O$6:$O$15)</f>
        <v>5400</v>
      </c>
    </row>
    <row r="5" customFormat="false" ht="15" hidden="false" customHeight="false" outlineLevel="0" collapsed="false">
      <c r="A5" s="19" t="s">
        <v>59</v>
      </c>
      <c r="B5" s="19" t="s">
        <v>120</v>
      </c>
      <c r="C5" s="19" t="n">
        <f aca="false">COUNTIF('Content Plan'!$D$6:$D$15,A5)</f>
        <v>3</v>
      </c>
      <c r="D5" s="20" t="n">
        <f aca="false">IF($C$8=0,0,C5/$C$8)</f>
        <v>0.3</v>
      </c>
      <c r="E5" s="19" t="n">
        <f aca="false">SUMIF('Content Plan'!$D$6:$D$15,A5,'Content Plan'!$O$6:$O$15)</f>
        <v>4900</v>
      </c>
    </row>
    <row r="6" customFormat="false" ht="15" hidden="false" customHeight="false" outlineLevel="0" collapsed="false">
      <c r="A6" s="21" t="s">
        <v>84</v>
      </c>
      <c r="B6" s="21" t="s">
        <v>121</v>
      </c>
      <c r="C6" s="21" t="n">
        <f aca="false">COUNTIF('Content Plan'!$D$6:$D$15,A6)</f>
        <v>2</v>
      </c>
      <c r="D6" s="22" t="n">
        <f aca="false">IF($C$8=0,0,C6/$C$8)</f>
        <v>0.2</v>
      </c>
      <c r="E6" s="21" t="n">
        <f aca="false">SUMIF('Content Plan'!$D$6:$D$15,A6,'Content Plan'!$O$6:$O$15)</f>
        <v>2100</v>
      </c>
    </row>
    <row r="7" customFormat="false" ht="15" hidden="false" customHeight="false" outlineLevel="0" collapsed="false">
      <c r="A7" s="23" t="s">
        <v>104</v>
      </c>
      <c r="B7" s="23" t="s">
        <v>122</v>
      </c>
      <c r="C7" s="23" t="n">
        <f aca="false">COUNTIF('Content Plan'!$D$6:$D$15,A7)</f>
        <v>1</v>
      </c>
      <c r="D7" s="24" t="n">
        <f aca="false">IF($C$8=0,0,C7/$C$8)</f>
        <v>0.1</v>
      </c>
      <c r="E7" s="23" t="n">
        <f aca="false">SUMIF('Content Plan'!$D$6:$D$15,A7,'Content Plan'!$O$6:$O$15)</f>
        <v>900</v>
      </c>
    </row>
    <row r="8" customFormat="false" ht="15" hidden="false" customHeight="false" outlineLevel="0" collapsed="false">
      <c r="A8" s="14" t="s">
        <v>123</v>
      </c>
      <c r="C8" s="14" t="n">
        <f aca="false">SUM(C4:C7)</f>
        <v>10</v>
      </c>
      <c r="D8" s="25" t="n">
        <f aca="false">SUM(D4:D7)</f>
        <v>1</v>
      </c>
      <c r="E8" s="14" t="n">
        <f aca="false">SUM(E4:E7)</f>
        <v>13300</v>
      </c>
    </row>
    <row r="10" customFormat="false" ht="15" hidden="false" customHeight="false" outlineLevel="0" collapsed="false">
      <c r="A10" s="26" t="s">
        <v>124</v>
      </c>
    </row>
    <row r="11" customFormat="false" ht="15" hidden="false" customHeight="false" outlineLevel="0" collapsed="false">
      <c r="A11" s="27" t="s">
        <v>24</v>
      </c>
      <c r="C11" s="27" t="n">
        <f aca="false">COUNTIF('Content Plan'!$H$6:$H$15,A11)</f>
        <v>5</v>
      </c>
    </row>
    <row r="12" customFormat="false" ht="15" hidden="false" customHeight="false" outlineLevel="0" collapsed="false">
      <c r="A12" s="27" t="s">
        <v>62</v>
      </c>
      <c r="C12" s="27" t="n">
        <f aca="false">COUNTIF('Content Plan'!$H$6:$H$15,A12)</f>
        <v>3</v>
      </c>
    </row>
    <row r="13" customFormat="false" ht="15" hidden="false" customHeight="false" outlineLevel="0" collapsed="false">
      <c r="A13" s="27" t="s">
        <v>88</v>
      </c>
      <c r="C13" s="27" t="n">
        <f aca="false">COUNTIF('Content Plan'!$H$6:$H$15,A13)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60"/>
    <col collapsed="false" customWidth="true" hidden="false" outlineLevel="0" max="3" min="3" style="0" width="20"/>
  </cols>
  <sheetData>
    <row r="1" customFormat="false" ht="17.35" hidden="false" customHeight="false" outlineLevel="0" collapsed="false">
      <c r="A1" s="15" t="s">
        <v>125</v>
      </c>
    </row>
    <row r="2" customFormat="false" ht="39.75" hidden="false" customHeight="true" outlineLevel="0" collapsed="false">
      <c r="A2" s="28" t="s">
        <v>126</v>
      </c>
      <c r="B2" s="28"/>
      <c r="C2" s="28"/>
    </row>
    <row r="4" customFormat="false" ht="15" hidden="false" customHeight="false" outlineLevel="0" collapsed="false">
      <c r="A4" s="29" t="s">
        <v>127</v>
      </c>
      <c r="B4" s="29" t="s">
        <v>128</v>
      </c>
      <c r="C4" s="29" t="s">
        <v>129</v>
      </c>
    </row>
    <row r="5" customFormat="false" ht="26.85" hidden="false" customHeight="false" outlineLevel="0" collapsed="false">
      <c r="A5" s="30" t="s">
        <v>21</v>
      </c>
      <c r="B5" s="30" t="s">
        <v>130</v>
      </c>
      <c r="C5" s="30" t="s">
        <v>131</v>
      </c>
    </row>
    <row r="6" customFormat="false" ht="15" hidden="false" customHeight="false" outlineLevel="0" collapsed="false">
      <c r="A6" s="30" t="s">
        <v>42</v>
      </c>
      <c r="B6" s="30" t="s">
        <v>132</v>
      </c>
      <c r="C6" s="30" t="s">
        <v>133</v>
      </c>
    </row>
    <row r="7" customFormat="false" ht="26.85" hidden="false" customHeight="false" outlineLevel="0" collapsed="false">
      <c r="A7" s="30" t="s">
        <v>69</v>
      </c>
      <c r="B7" s="30" t="s">
        <v>134</v>
      </c>
      <c r="C7" s="30" t="s">
        <v>135</v>
      </c>
    </row>
    <row r="8" customFormat="false" ht="15" hidden="false" customHeight="false" outlineLevel="0" collapsed="false">
      <c r="A8" s="30" t="s">
        <v>50</v>
      </c>
      <c r="B8" s="30" t="s">
        <v>136</v>
      </c>
      <c r="C8" s="30" t="s">
        <v>137</v>
      </c>
    </row>
    <row r="9" customFormat="false" ht="26.85" hidden="false" customHeight="false" outlineLevel="0" collapsed="false">
      <c r="A9" s="30" t="s">
        <v>85</v>
      </c>
      <c r="B9" s="30" t="s">
        <v>138</v>
      </c>
      <c r="C9" s="30" t="s">
        <v>139</v>
      </c>
    </row>
    <row r="10" customFormat="false" ht="15" hidden="false" customHeight="false" outlineLevel="0" collapsed="false">
      <c r="A10" s="30" t="s">
        <v>105</v>
      </c>
      <c r="B10" s="30" t="s">
        <v>140</v>
      </c>
      <c r="C10" s="30" t="s">
        <v>141</v>
      </c>
    </row>
  </sheetData>
  <mergeCells count="1"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2026-10-12T15:41:13Z</dcterms:created>
  <dc:creator>openpyxl</dc:creator>
  <dc:description/>
  <dc:language>en-US</dc:language>
  <cp:lastModifiedBy/>
  <dcterms:modified xsi:type="dcterms:W3CDTF">2026-10-12T15:41:14Z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